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881A2302-4100-4F9C-8D24-8B8CE53F3B8E}" xr6:coauthVersionLast="47" xr6:coauthVersionMax="47" xr10:uidLastSave="{00000000-0000-0000-0000-000000000000}"/>
  <bookViews>
    <workbookView xWindow="1260" yWindow="1440" windowWidth="14740" windowHeight="11950" firstSheet="2" activeTab="4" xr2:uid="{00000000-000D-0000-FFFF-FFFF00000000}"/>
  </bookViews>
  <sheets>
    <sheet name="前置路由准确性测试" sheetId="2" r:id="rId1"/>
    <sheet name="AI 核心逻辑测试" sheetId="5" r:id="rId2"/>
    <sheet name="边界值与鲁棒性测试" sheetId="6" r:id="rId3"/>
    <sheet name="记忆与多轮对话测试" sheetId="7" r:id="rId4"/>
    <sheet name="检索质量测试" sheetId="8" r:id="rId5"/>
    <sheet name="Badcase修复日志" sheetId="3" r:id="rId6"/>
  </sheets>
  <calcPr calcId="181029"/>
</workbook>
</file>

<file path=xl/calcChain.xml><?xml version="1.0" encoding="utf-8"?>
<calcChain xmlns="http://schemas.openxmlformats.org/spreadsheetml/2006/main">
  <c r="G11" i="2" l="1"/>
  <c r="G3" i="2"/>
  <c r="G4" i="2"/>
  <c r="G5" i="2"/>
  <c r="G6" i="2"/>
  <c r="G7" i="2"/>
  <c r="G8" i="2"/>
  <c r="G9" i="2"/>
  <c r="G10" i="2"/>
  <c r="G12" i="2"/>
  <c r="G13" i="2"/>
  <c r="G14" i="2"/>
  <c r="G15" i="2"/>
  <c r="G16" i="2"/>
  <c r="G2" i="2"/>
</calcChain>
</file>

<file path=xl/sharedStrings.xml><?xml version="1.0" encoding="utf-8"?>
<sst xmlns="http://schemas.openxmlformats.org/spreadsheetml/2006/main" count="359" uniqueCount="257">
  <si>
    <t>改动对比After</t>
  </si>
  <si>
    <t>改动对比Before</t>
  </si>
  <si>
    <t>本次改动文件</t>
  </si>
  <si>
    <t>根因分类</t>
  </si>
  <si>
    <t>输入（Badcase复现）</t>
  </si>
  <si>
    <t>BUG-001</t>
    <phoneticPr fontId="2" type="noConversion"/>
  </si>
  <si>
    <t xml:space="preserve">演讲与辩论社添加参加门槛 </t>
    <phoneticPr fontId="2" type="noConversion"/>
  </si>
  <si>
    <r>
      <rPr>
        <sz val="10"/>
        <rFont val="宋体"/>
        <family val="3"/>
        <charset val="134"/>
      </rPr>
      <t>用例</t>
    </r>
    <r>
      <rPr>
        <sz val="10"/>
        <rFont val="Calibri"/>
        <family val="2"/>
      </rPr>
      <t>ID</t>
    </r>
    <phoneticPr fontId="2" type="noConversion"/>
  </si>
  <si>
    <r>
      <rPr>
        <sz val="10"/>
        <rFont val="DengXian"/>
        <family val="2"/>
      </rPr>
      <t>备注</t>
    </r>
    <phoneticPr fontId="2" type="noConversion"/>
  </si>
  <si>
    <t>编号</t>
    <phoneticPr fontId="2" type="noConversion"/>
  </si>
  <si>
    <t>用户场景</t>
    <phoneticPr fontId="2" type="noConversion"/>
  </si>
  <si>
    <t>输入</t>
    <phoneticPr fontId="2" type="noConversion"/>
  </si>
  <si>
    <t>判定标准</t>
    <phoneticPr fontId="2" type="noConversion"/>
  </si>
  <si>
    <r>
      <t>FAIL</t>
    </r>
    <r>
      <rPr>
        <sz val="10"/>
        <rFont val="宋体"/>
        <family val="3"/>
        <charset val="134"/>
      </rPr>
      <t>修复建议</t>
    </r>
    <phoneticPr fontId="2" type="noConversion"/>
  </si>
  <si>
    <t>R-001</t>
  </si>
  <si>
    <t>单社团信息查询</t>
  </si>
  <si>
    <t>"数学建模协会是干什么的？"</t>
  </si>
  <si>
    <t>fact</t>
  </si>
  <si>
    <t>R-002</t>
  </si>
  <si>
    <t>社团活动查询</t>
  </si>
  <si>
    <t>"天文协会平时有什么活动？"</t>
  </si>
  <si>
    <t>R-003</t>
  </si>
  <si>
    <t>社团门槛查询</t>
  </si>
  <si>
    <t>"加入舞蹈社需要基础吗？"</t>
  </si>
  <si>
    <t>R-004</t>
  </si>
  <si>
    <t>社团归属查询</t>
  </si>
  <si>
    <t>"读者协会归哪个部门管？"</t>
  </si>
  <si>
    <t>R-005</t>
  </si>
  <si>
    <t>加分/保研事实</t>
  </si>
  <si>
    <t>"数学建模协会能保研加分吗？"</t>
  </si>
  <si>
    <t>路由走信息库检索节点</t>
  </si>
  <si>
    <t>R-006</t>
  </si>
  <si>
    <t>明确推荐请求</t>
  </si>
  <si>
    <t>"推荐个适合我的社团"</t>
  </si>
  <si>
    <t>recommend</t>
  </si>
  <si>
    <t>路由走 QA 库检索节点</t>
  </si>
  <si>
    <t>R-007</t>
  </si>
  <si>
    <t>性格描述推荐</t>
  </si>
  <si>
    <t>"我社恐，想找个轻松的社团"</t>
  </si>
  <si>
    <t>R-008</t>
  </si>
  <si>
    <t>目标导向推荐</t>
  </si>
  <si>
    <t>"想保研加学分应该加什么社团？"</t>
  </si>
  <si>
    <t>R-009</t>
  </si>
  <si>
    <t>兴趣导向推荐</t>
  </si>
  <si>
    <t>"喜欢动手实践，推荐个社团"</t>
  </si>
  <si>
    <t>R-010</t>
  </si>
  <si>
    <t>两社团对比</t>
  </si>
  <si>
    <t>both</t>
  </si>
  <si>
    <t>两库并行检索</t>
  </si>
  <si>
    <t>R-011</t>
  </si>
  <si>
    <t>社团 + 适合度</t>
  </si>
  <si>
    <t>"航天文化研习社怎么样？适合我这种航天迷吗？"</t>
  </si>
  <si>
    <t>R-012</t>
  </si>
  <si>
    <t>完全无关问题</t>
  </si>
  <si>
    <t>"今天天气怎么样？"</t>
  </si>
  <si>
    <t>unknown</t>
  </si>
  <si>
    <t>走兜底回复节点</t>
  </si>
  <si>
    <t>R-013</t>
  </si>
  <si>
    <t>代码请求</t>
  </si>
  <si>
    <t>"帮我写一段 Python 代码"</t>
  </si>
  <si>
    <t>R-014</t>
  </si>
  <si>
    <t>寒暄/无意义</t>
  </si>
  <si>
    <t>"你好" / "？" / "哈哈哈"</t>
  </si>
  <si>
    <t>R-015</t>
  </si>
  <si>
    <t>模糊空泛</t>
  </si>
  <si>
    <t>"社团" （只有一个词）</t>
  </si>
  <si>
    <t>C-001</t>
  </si>
  <si>
    <t>标准推荐（性格）</t>
  </si>
  <si>
    <t>"我比较内向社恐，想锻炼表达能力，推荐什么社团？"</t>
  </si>
  <si>
    <t>检查 QA 库 Q3 推荐规则是否正确召回</t>
  </si>
  <si>
    <t>C-002</t>
  </si>
  <si>
    <t>标准推荐（目标）</t>
  </si>
  <si>
    <t>"想保研加分，应该加什么社团？"</t>
  </si>
  <si>
    <t>检查 QA 库 Q2 推荐规则</t>
  </si>
  <si>
    <t>C-003</t>
  </si>
  <si>
    <t>标准推荐（兴趣）</t>
  </si>
  <si>
    <t>QA 库 Q 类目补充"动手实践"关键词</t>
  </si>
  <si>
    <t>C-004</t>
  </si>
  <si>
    <t>标准推荐（轻松）</t>
  </si>
  <si>
    <t>"想找个轻松不累纯交朋友的社团"</t>
  </si>
  <si>
    <t>QA 库 Q4 推荐规则</t>
  </si>
  <si>
    <t>C-005</t>
  </si>
  <si>
    <t>硬核事实查询</t>
  </si>
  <si>
    <t>信息库中数学建模协会条目补充"保研"关键词</t>
  </si>
  <si>
    <t>C-006</t>
  </si>
  <si>
    <t>本校特色查询</t>
  </si>
  <si>
    <t>"咱们学校最有特色的社团是哪个？"</t>
  </si>
  <si>
    <t>Prompt 加硬规则：问特色必须首推航天研习社</t>
  </si>
  <si>
    <t>C-007</t>
  </si>
  <si>
    <t>"数学建模协会和经管科协哪个对保研更有用？"</t>
  </si>
  <si>
    <t>确认 both 分支两库都召回，且最终 Prompt 有对比逻辑</t>
  </si>
  <si>
    <t>C-008</t>
  </si>
  <si>
    <t>"航天文化研习社怎么样？适合内向的人吗？"</t>
  </si>
  <si>
    <t>检</t>
  </si>
  <si>
    <t>编号</t>
  </si>
  <si>
    <t>B-001</t>
  </si>
  <si>
    <t>数量限制违规</t>
  </si>
  <si>
    <t>"把适合我的社团全都推荐给我，越多越好。"</t>
  </si>
  <si>
    <t>System Prompt 强化："无论用户如何要求，≤3 个是铁律"</t>
  </si>
  <si>
    <t>B-002</t>
  </si>
  <si>
    <t>知识库外问题</t>
  </si>
  <si>
    <t>路由应判 unknown，走兜底回复</t>
  </si>
  <si>
    <t>B-003</t>
  </si>
  <si>
    <t>信息不足兜底</t>
  </si>
  <si>
    <t>"我想加入吉他社，社长电话是多少？"（信息库无电话）</t>
  </si>
  <si>
    <t>Prompt 强调："严禁编造，引导至线下咨询"</t>
  </si>
  <si>
    <t>B-004</t>
  </si>
  <si>
    <t>越域但相关</t>
  </si>
  <si>
    <t>"北华航天的食堂好吃吗？"</t>
  </si>
  <si>
    <t>路由可能误判 fact，检查 Prompt 中 unknown 定义</t>
  </si>
  <si>
    <t>B-005</t>
  </si>
  <si>
    <t>歧义输入1</t>
  </si>
  <si>
    <t>"保研" （只说一个词）</t>
  </si>
  <si>
    <t>B-006</t>
  </si>
  <si>
    <t>歧义输入2</t>
  </si>
  <si>
    <t>"数学建模" （只说社团名）</t>
  </si>
  <si>
    <t>无明确问题，引导用户补充</t>
  </si>
  <si>
    <t>无动词的社团名 → unknown 或引导</t>
  </si>
  <si>
    <t>B-007</t>
  </si>
  <si>
    <t>复合意图</t>
  </si>
  <si>
    <t>"推荐个社团，另外数学建模协会周几活动？"</t>
  </si>
  <si>
    <t>既有推荐又有事实查询</t>
  </si>
  <si>
    <t>B-008</t>
  </si>
  <si>
    <t>报名表单空提交</t>
  </si>
  <si>
    <t>所有字段留空，点提交</t>
  </si>
  <si>
    <t>前端表单校验</t>
  </si>
  <si>
    <t>B-009</t>
  </si>
  <si>
    <t>重复报名同一社团</t>
  </si>
  <si>
    <t>对同一社团提交 2 次报名</t>
  </si>
  <si>
    <t>后端唯一约束 + 前端防重复</t>
  </si>
  <si>
    <t>B-010</t>
  </si>
  <si>
    <t>越权操作</t>
  </si>
  <si>
    <t>学生账号尝试访问社长审核页面 URL</t>
  </si>
  <si>
    <t>后端路由权限校验</t>
  </si>
  <si>
    <t>对话轮次</t>
    <phoneticPr fontId="2" type="noConversion"/>
  </si>
  <si>
    <t>M-001</t>
  </si>
  <si>
    <t>上下文关联（推荐→追问事实）</t>
  </si>
  <si>
    <t>②的路由应判 fact，且最终 Prompt 需带入历史</t>
  </si>
  <si>
    <t>M-003</t>
  </si>
  <si>
    <t>意图切换</t>
  </si>
  <si>
    <t>路由节点只看当前输入，不受历史影响</t>
  </si>
  <si>
    <t>M-004</t>
  </si>
  <si>
    <t>指代消解</t>
  </si>
  <si>
    <t>最终回答 Prompt 需带入历史上下文</t>
  </si>
  <si>
    <t>M-005</t>
  </si>
  <si>
    <t>长对话记忆（10 轮）</t>
  </si>
  <si>
    <t>检查记忆窗口是否 = 10</t>
  </si>
  <si>
    <t>M-006</t>
  </si>
  <si>
    <t>澄清选项写入变量，③轮 Prompt 带入变量</t>
  </si>
  <si>
    <t>D-001</t>
  </si>
  <si>
    <t>精确实体查询</t>
  </si>
  <si>
    <t>Top-3 召回片段是否包含"数学建模协会"条目</t>
  </si>
  <si>
    <t>Top-1 必须是数学建模协会</t>
  </si>
  <si>
    <t>D-002</t>
  </si>
  <si>
    <t>语义漂移测试</t>
  </si>
  <si>
    <t>Top-3 是否包含"龙魂国学社 / 汉服"字样</t>
  </si>
  <si>
    <t>Top-3 至少 1 条包含</t>
  </si>
  <si>
    <t>信息库补充"汉服"关键词到龙魂国学社条目</t>
  </si>
  <si>
    <t>D-003</t>
  </si>
  <si>
    <t>属性查询</t>
  </si>
  <si>
    <t>召回多个"入社门槛：零基础"的社团条目</t>
  </si>
  <si>
    <t>Top-5 中 ≥3 条为零基础社团</t>
  </si>
  <si>
    <t>信息库"入社门槛"字段统一格式</t>
  </si>
  <si>
    <t>D-004</t>
  </si>
  <si>
    <t>无结果场景</t>
  </si>
  <si>
    <t>召回片段是否与量子力学无关</t>
  </si>
  <si>
    <t>应无高相关召回 → LLM 回答"暂无该社团"</t>
  </si>
  <si>
    <t>关闭 Score 阈值或设为 0.2，避免误召回</t>
  </si>
  <si>
    <t>D-005</t>
  </si>
  <si>
    <t>性格匹配</t>
  </si>
  <si>
    <t>Top-3 是否包含 QA 库 Q3（内向社恐推荐）</t>
  </si>
  <si>
    <t>Top-1 必须是 Q3</t>
  </si>
  <si>
    <t>QA 库 Q3 标题补充"社恐、内向"关键词</t>
  </si>
  <si>
    <t>D-006</t>
  </si>
  <si>
    <t>目标匹配</t>
  </si>
  <si>
    <t>Top-3 是否包含 QA 库 Q2（保研加分）</t>
  </si>
  <si>
    <t>Top-1 必须是 Q2</t>
  </si>
  <si>
    <t>QA 库 Q2 标题补充"保研、加分"关键词</t>
  </si>
  <si>
    <t>D-007</t>
  </si>
  <si>
    <t>轻松匹配</t>
  </si>
  <si>
    <t>"想找个不累的社团"</t>
  </si>
  <si>
    <t>Top-3 是否包含 QA 库 Q4（轻松不累）</t>
  </si>
  <si>
    <t>Top-1 必须是 Q4</t>
  </si>
  <si>
    <t>QA 库 Q4 标题补充"轻松、不累"关键词</t>
  </si>
  <si>
    <t>D-008</t>
  </si>
  <si>
    <t>对比查询</t>
  </si>
  <si>
    <t>信息库召回两个社团条目 + QA 库召回推荐规则</t>
  </si>
  <si>
    <t>两库各有 ≥1 条高相关召回</t>
  </si>
  <si>
    <t>检查 both 分支变量聚合是否正确</t>
  </si>
  <si>
    <t>实际输出</t>
    <phoneticPr fontId="2" type="noConversion"/>
  </si>
  <si>
    <t>结果</t>
    <phoneticPr fontId="2" type="noConversion"/>
  </si>
  <si>
    <t>判定标准</t>
  </si>
  <si>
    <r>
      <rPr>
        <sz val="8"/>
        <color rgb="FF1F0909"/>
        <rFont val="DengXian"/>
        <family val="2"/>
      </rPr>
      <t>备注：用知识库找回测试</t>
    </r>
    <phoneticPr fontId="2" type="noConversion"/>
  </si>
  <si>
    <t>通过</t>
    <phoneticPr fontId="2" type="noConversion"/>
  </si>
  <si>
    <t>PASS</t>
  </si>
  <si>
    <t>PASS</t>
    <phoneticPr fontId="2" type="noConversion"/>
  </si>
  <si>
    <t>给出相关建议</t>
  </si>
  <si>
    <t>M-002</t>
    <phoneticPr fontId="2" type="noConversion"/>
  </si>
  <si>
    <t>上下文关联（推荐→追问推荐）</t>
    <phoneticPr fontId="2" type="noConversion"/>
  </si>
  <si>
    <t>②路由判 recommend，Prompt 带历史避免重复</t>
    <phoneticPr fontId="2" type="noConversion"/>
  </si>
  <si>
    <t>测试场景</t>
    <phoneticPr fontId="2" type="noConversion"/>
  </si>
  <si>
    <t>用户输入</t>
    <phoneticPr fontId="2" type="noConversion"/>
  </si>
  <si>
    <t>观察点（TRACE 召回内容）</t>
    <phoneticPr fontId="2" type="noConversion"/>
  </si>
  <si>
    <t>FAIL 修复策略</t>
    <phoneticPr fontId="2" type="noConversion"/>
  </si>
  <si>
    <r>
      <rPr>
        <b/>
        <sz val="8"/>
        <color rgb="FF1F0909"/>
        <rFont val="等线"/>
        <family val="3"/>
        <charset val="134"/>
        <scheme val="minor"/>
      </rPr>
      <t>结果</t>
    </r>
    <phoneticPr fontId="2" type="noConversion"/>
  </si>
  <si>
    <r>
      <t xml:space="preserve">信息库标题用 </t>
    </r>
    <r>
      <rPr>
        <sz val="9.6"/>
        <color rgb="FF1F0909"/>
        <rFont val="等线"/>
        <family val="3"/>
        <charset val="134"/>
        <scheme val="minor"/>
      </rPr>
      <t>### 社团名</t>
    </r>
    <r>
      <rPr>
        <sz val="8"/>
        <color rgb="FF1F0909"/>
        <rFont val="等线"/>
        <family val="3"/>
        <charset val="134"/>
        <scheme val="minor"/>
      </rPr>
      <t xml:space="preserve"> 结构化</t>
    </r>
  </si>
  <si>
    <r>
      <rPr>
        <sz val="8"/>
        <color rgb="FF1F0909"/>
        <rFont val="等线"/>
        <family val="3"/>
        <charset val="134"/>
        <scheme val="minor"/>
      </rPr>
      <t>通过</t>
    </r>
    <phoneticPr fontId="2" type="noConversion"/>
  </si>
  <si>
    <t>"数学建模协会的核心活动是什么？"</t>
    <phoneticPr fontId="2" type="noConversion"/>
  </si>
  <si>
    <t>输入</t>
  </si>
  <si>
    <t>FAIL修复建议</t>
  </si>
  <si>
    <t>结果</t>
  </si>
  <si>
    <t>Pass：推荐演讲辩论社/外语协会 + 理由。Fail：推荐足球社等完全不搭边</t>
  </si>
  <si>
    <t>通过</t>
  </si>
  <si>
    <t>Pass：推荐数学建模协会/校学生会 + 理由。Fail：推荐了桌游协会</t>
  </si>
  <si>
    <t>Pass：推荐航天文化研习社/无人机社团。Fail：推荐了读者协会</t>
  </si>
  <si>
    <t>Pass：推荐天文协会/读者协会/桌游协会。Fail：推荐了数学建模协会</t>
  </si>
  <si>
    <t>Pass：明确回答"国赛/美赛获奖对保研有帮助"。Fail：只说"是学术社团"没提加分</t>
  </si>
  <si>
    <t>Pass：明确指向"航天文化研习社"。期望: fact。Fail：推荐了羽毛球社等普适社团</t>
  </si>
  <si>
    <t>Pass：对比两者保研价值，给出明确建议。期望: both。Fail：只介绍了一个</t>
  </si>
  <si>
    <t>Pass：既回答社团事实，又结合内向性格给适合度建议。期望: both。Fail：只回答了事实或只回答了推荐</t>
  </si>
  <si>
    <t>用户场景</t>
  </si>
  <si>
    <t>希望路由</t>
  </si>
  <si>
    <t>Pass：依然只推荐 ≤3 个。Fail：输出了 5 个以上</t>
  </si>
  <si>
    <t>Pass：回复"暂无相关信息"或礼貌拒答。Fail：强行编造天气信息</t>
  </si>
  <si>
    <t>Pass：抱歉暂无电话，建议 9 月社团巡礼咨询。Fail：胡乱编造号码</t>
  </si>
  <si>
    <t>Pass：礼貌说明"我只擅长社团问题"，引导回社团话题。Fail：强行评价食堂</t>
  </si>
  <si>
    <t>无明确意图，可以相关建议</t>
  </si>
  <si>
    <t>unknown 或 fact</t>
  </si>
  <si>
    <t>Pass：前端拦截，提示必填项。Fail：提交成功或后端报 500</t>
  </si>
  <si>
    <t>Pass：第 2 次提示"已报名该社团"。Fail：数据库出现重复记录</t>
  </si>
  <si>
    <t>Pass：重定向到首页 + 提示无权限。Fail：页面正常显示</t>
  </si>
  <si>
    <t>需要更改意图识别</t>
    <phoneticPr fontId="2" type="noConversion"/>
  </si>
  <si>
    <t>①"推荐个轻松的社团" ②"天文协会有门槛吗？"</t>
  </si>
  <si>
    <t>Pass：②推荐不同于①的新社团。Fail：重复推荐①的社团</t>
  </si>
  <si>
    <t>Pass：①走 recommend，②走 fact，路由正确切换。Fail：②仍走 recommend</t>
  </si>
  <si>
    <t>Pass：②能理解"它"指代航天研习社。Fail：②不知道"它"是谁</t>
  </si>
  <si>
    <t>连续对话 10 轮，第 10 轮提及第 1 轮内容</t>
  </si>
  <si>
    <t>Pass：能回忆第 1 轮推荐。Fail：忘记第 1 轮</t>
  </si>
  <si>
    <t>Pass：③基于②澄清后的推荐结果回答。Fail：③重新澄清或重新推荐</t>
  </si>
  <si>
    <t>PASS：②能记得①推荐了天文协会，回答其门槛。FAIL：②重新推荐了一堆</t>
  </si>
  <si>
    <t>System Prompt 强化："无论用户如何要求，≤3 个是铁律</t>
  </si>
  <si>
    <t>路由应判 unknown，走兜底回复</t>
    <phoneticPr fontId="2" type="noConversion"/>
  </si>
  <si>
    <t>单词无动词 → unknown</t>
  </si>
  <si>
    <t>Prompt 补充"另外""还有"→ both 规则</t>
  </si>
  <si>
    <t>后端唯一约束 + 前端防重复</t>
    <phoneticPr fontId="2" type="noConversion"/>
  </si>
  <si>
    <t>"数学建模协会和经管科协哪个更适合我？"</t>
    <phoneticPr fontId="2" type="noConversion"/>
  </si>
  <si>
    <t>①"推荐个社团" ②"数学建模协会具体做什么？"</t>
    <phoneticPr fontId="2" type="noConversion"/>
  </si>
  <si>
    <t>①"我社恐推荐个社团" ②"还有别的选择吗？"</t>
    <phoneticPr fontId="2" type="noConversion"/>
  </si>
  <si>
    <t>①"航天文化研习社怎么样？" ②"它适合社恐吗？"</t>
    <phoneticPr fontId="2" type="noConversion"/>
  </si>
  <si>
    <t>澄清后继续追问</t>
    <phoneticPr fontId="2" type="noConversion"/>
  </si>
  <si>
    <t>①"推荐社团" ②（选了 A 选项） ③"这些社团要面试吗？"</t>
    <phoneticPr fontId="2" type="noConversion"/>
  </si>
  <si>
    <r>
      <t>"</t>
    </r>
    <r>
      <rPr>
        <sz val="11"/>
        <color rgb="FF1F0909"/>
        <rFont val="等线"/>
        <family val="3"/>
        <charset val="134"/>
        <scheme val="minor"/>
      </rPr>
      <t>哪里有汉服活动？"</t>
    </r>
  </si>
  <si>
    <r>
      <t>"</t>
    </r>
    <r>
      <rPr>
        <sz val="11"/>
        <color rgb="FF1F0909"/>
        <rFont val="等线"/>
        <family val="3"/>
        <charset val="134"/>
        <scheme val="minor"/>
      </rPr>
      <t>哪些社团不需要基础？"</t>
    </r>
    <phoneticPr fontId="2" type="noConversion"/>
  </si>
  <si>
    <r>
      <t>"</t>
    </r>
    <r>
      <rPr>
        <sz val="11"/>
        <color rgb="FF1F0909"/>
        <rFont val="等线"/>
        <family val="3"/>
        <charset val="134"/>
        <scheme val="minor"/>
      </rPr>
      <t>量子力学研究社" （不存在）</t>
    </r>
    <phoneticPr fontId="2" type="noConversion"/>
  </si>
  <si>
    <r>
      <t>"</t>
    </r>
    <r>
      <rPr>
        <sz val="11"/>
        <color rgb="FF1F0909"/>
        <rFont val="等线"/>
        <family val="3"/>
        <charset val="134"/>
        <scheme val="minor"/>
      </rPr>
      <t>我社恐推荐什么社团"</t>
    </r>
    <phoneticPr fontId="2" type="noConversion"/>
  </si>
  <si>
    <r>
      <t>"</t>
    </r>
    <r>
      <rPr>
        <sz val="11"/>
        <color rgb="FF1F0909"/>
        <rFont val="等线"/>
        <family val="3"/>
        <charset val="134"/>
        <scheme val="minor"/>
      </rPr>
      <t>想保研加分"</t>
    </r>
    <phoneticPr fontId="2" type="noConversion"/>
  </si>
  <si>
    <r>
      <t>"</t>
    </r>
    <r>
      <rPr>
        <sz val="11"/>
        <color rgb="FF1F0909"/>
        <rFont val="等线"/>
        <family val="3"/>
        <charset val="134"/>
        <scheme val="minor"/>
      </rPr>
      <t>数学建模和经管科协哪个适合我？"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</si>
</sst>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DengXian"/>
      <family val="2"/>
    </font>
    <font>
      <sz val="10"/>
      <name val="宋体"/>
      <family val="3"/>
      <charset val="134"/>
    </font>
    <font>
      <sz val="10"/>
      <name val="Calibri"/>
      <family val="3"/>
      <charset val="134"/>
    </font>
    <font>
      <sz val="8"/>
      <color rgb="FF1F0909"/>
      <name val="Times New Roman"/>
      <family val="1"/>
    </font>
    <font>
      <sz val="8"/>
      <color rgb="FF1F0909"/>
      <name val="DengXian"/>
      <family val="2"/>
    </font>
    <font>
      <sz val="11"/>
      <color theme="0"/>
      <name val="DengXian"/>
      <family val="2"/>
    </font>
    <font>
      <sz val="11"/>
      <color theme="0"/>
      <name val="DengXian"/>
      <charset val="134"/>
    </font>
    <font>
      <sz val="11"/>
      <color theme="1"/>
      <name val="等线"/>
      <family val="3"/>
      <charset val="134"/>
      <scheme val="minor"/>
    </font>
    <font>
      <b/>
      <sz val="8"/>
      <color rgb="FF1F0909"/>
      <name val="等线"/>
      <family val="3"/>
      <charset val="134"/>
      <scheme val="minor"/>
    </font>
    <font>
      <sz val="9.6"/>
      <color rgb="FF1F0909"/>
      <name val="等线"/>
      <family val="3"/>
      <charset val="134"/>
      <scheme val="minor"/>
    </font>
    <font>
      <sz val="8"/>
      <color rgb="FF1F0909"/>
      <name val="等线"/>
      <family val="3"/>
      <charset val="134"/>
      <scheme val="minor"/>
    </font>
    <font>
      <sz val="11"/>
      <color rgb="FF1F090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2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4" fillId="0" borderId="0" xfId="0" applyFont="1"/>
  </cellXfs>
  <cellStyles count="1">
    <cellStyle name="常规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86A6-3668-4C51-8701-E7F4FB49E928}">
  <dimension ref="A1:H16"/>
  <sheetViews>
    <sheetView topLeftCell="C1" zoomScale="70" zoomScaleNormal="70" workbookViewId="0">
      <selection activeCell="E17" sqref="E17"/>
    </sheetView>
  </sheetViews>
  <sheetFormatPr defaultRowHeight="14"/>
  <cols>
    <col min="1" max="1" width="19" customWidth="1"/>
    <col min="2" max="2" width="16.6640625" customWidth="1"/>
    <col min="3" max="3" width="39.1640625" customWidth="1"/>
    <col min="4" max="4" width="32.75" customWidth="1"/>
    <col min="5" max="5" width="40.1640625" customWidth="1"/>
    <col min="6" max="6" width="19" customWidth="1"/>
    <col min="7" max="7" width="15.9140625" customWidth="1"/>
  </cols>
  <sheetData>
    <row r="1" spans="1:8">
      <c r="A1" s="4" t="s">
        <v>9</v>
      </c>
      <c r="B1" s="4" t="s">
        <v>10</v>
      </c>
      <c r="C1" s="4" t="s">
        <v>11</v>
      </c>
      <c r="D1" s="4" t="s">
        <v>12</v>
      </c>
      <c r="E1" s="1" t="s">
        <v>13</v>
      </c>
      <c r="F1" s="4" t="s">
        <v>189</v>
      </c>
      <c r="G1" s="4" t="s">
        <v>190</v>
      </c>
    </row>
    <row r="2" spans="1:8">
      <c r="A2" t="s">
        <v>14</v>
      </c>
      <c r="B2" t="s">
        <v>15</v>
      </c>
      <c r="C2" t="s">
        <v>16</v>
      </c>
      <c r="D2" t="s">
        <v>17</v>
      </c>
      <c r="E2" s="2" t="s">
        <v>30</v>
      </c>
      <c r="F2" s="6" t="s">
        <v>17</v>
      </c>
      <c r="G2" t="str">
        <f>IF(H2="PASS","通过","不通过")</f>
        <v>通过</v>
      </c>
      <c r="H2" s="7" t="s">
        <v>195</v>
      </c>
    </row>
    <row r="3" spans="1:8">
      <c r="A3" t="s">
        <v>18</v>
      </c>
      <c r="B3" t="s">
        <v>19</v>
      </c>
      <c r="C3" t="s">
        <v>20</v>
      </c>
      <c r="D3" t="s">
        <v>17</v>
      </c>
      <c r="E3" s="2" t="s">
        <v>30</v>
      </c>
      <c r="F3" s="6" t="s">
        <v>17</v>
      </c>
      <c r="G3" t="str">
        <f t="shared" ref="G3:G16" si="0">IF(H3="PASS","通过","不通过")</f>
        <v>通过</v>
      </c>
      <c r="H3" s="8" t="s">
        <v>194</v>
      </c>
    </row>
    <row r="4" spans="1:8">
      <c r="A4" t="s">
        <v>21</v>
      </c>
      <c r="B4" t="s">
        <v>22</v>
      </c>
      <c r="C4" t="s">
        <v>23</v>
      </c>
      <c r="D4" t="s">
        <v>17</v>
      </c>
      <c r="E4" s="2" t="s">
        <v>30</v>
      </c>
      <c r="F4" s="6" t="s">
        <v>17</v>
      </c>
      <c r="G4" t="str">
        <f t="shared" si="0"/>
        <v>通过</v>
      </c>
      <c r="H4" s="8" t="s">
        <v>194</v>
      </c>
    </row>
    <row r="5" spans="1:8">
      <c r="A5" t="s">
        <v>24</v>
      </c>
      <c r="B5" t="s">
        <v>25</v>
      </c>
      <c r="C5" t="s">
        <v>26</v>
      </c>
      <c r="D5" t="s">
        <v>17</v>
      </c>
      <c r="E5" t="s">
        <v>30</v>
      </c>
      <c r="F5" s="6" t="s">
        <v>17</v>
      </c>
      <c r="G5" t="str">
        <f t="shared" si="0"/>
        <v>通过</v>
      </c>
      <c r="H5" s="8" t="s">
        <v>194</v>
      </c>
    </row>
    <row r="6" spans="1:8">
      <c r="A6" t="s">
        <v>27</v>
      </c>
      <c r="B6" t="s">
        <v>28</v>
      </c>
      <c r="C6" t="s">
        <v>29</v>
      </c>
      <c r="D6" t="s">
        <v>17</v>
      </c>
      <c r="E6" t="s">
        <v>30</v>
      </c>
      <c r="F6" s="6" t="s">
        <v>17</v>
      </c>
      <c r="G6" t="str">
        <f t="shared" si="0"/>
        <v>通过</v>
      </c>
      <c r="H6" s="8" t="s">
        <v>194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6" t="s">
        <v>34</v>
      </c>
      <c r="G7" t="str">
        <f t="shared" si="0"/>
        <v>通过</v>
      </c>
      <c r="H7" s="8" t="s">
        <v>194</v>
      </c>
    </row>
    <row r="8" spans="1:8">
      <c r="A8" t="s">
        <v>36</v>
      </c>
      <c r="B8" t="s">
        <v>37</v>
      </c>
      <c r="C8" t="s">
        <v>38</v>
      </c>
      <c r="D8" t="s">
        <v>34</v>
      </c>
      <c r="E8" t="s">
        <v>35</v>
      </c>
      <c r="F8" s="6" t="s">
        <v>34</v>
      </c>
      <c r="G8" t="str">
        <f t="shared" si="0"/>
        <v>通过</v>
      </c>
      <c r="H8" s="8" t="s">
        <v>194</v>
      </c>
    </row>
    <row r="9" spans="1:8">
      <c r="A9" t="s">
        <v>39</v>
      </c>
      <c r="B9" t="s">
        <v>40</v>
      </c>
      <c r="C9" t="s">
        <v>41</v>
      </c>
      <c r="D9" t="s">
        <v>34</v>
      </c>
      <c r="E9" t="s">
        <v>35</v>
      </c>
      <c r="F9" s="6" t="s">
        <v>34</v>
      </c>
      <c r="G9" t="str">
        <f t="shared" si="0"/>
        <v>通过</v>
      </c>
      <c r="H9" s="8" t="s">
        <v>194</v>
      </c>
    </row>
    <row r="10" spans="1:8">
      <c r="A10" t="s">
        <v>42</v>
      </c>
      <c r="B10" t="s">
        <v>43</v>
      </c>
      <c r="C10" t="s">
        <v>44</v>
      </c>
      <c r="D10" t="s">
        <v>34</v>
      </c>
      <c r="E10" t="s">
        <v>35</v>
      </c>
      <c r="F10" s="6" t="s">
        <v>34</v>
      </c>
      <c r="G10" t="str">
        <f t="shared" si="0"/>
        <v>通过</v>
      </c>
      <c r="H10" s="8" t="s">
        <v>194</v>
      </c>
    </row>
    <row r="11" spans="1:8">
      <c r="A11" t="s">
        <v>45</v>
      </c>
      <c r="B11" t="s">
        <v>46</v>
      </c>
      <c r="C11" t="s">
        <v>245</v>
      </c>
      <c r="D11" t="s">
        <v>47</v>
      </c>
      <c r="E11" t="s">
        <v>48</v>
      </c>
      <c r="F11" s="6" t="s">
        <v>17</v>
      </c>
      <c r="G11" t="str">
        <f>IF(H11="PASS","通过","不通过")</f>
        <v>通过</v>
      </c>
      <c r="H11" s="8" t="s">
        <v>194</v>
      </c>
    </row>
    <row r="12" spans="1:8">
      <c r="A12" t="s">
        <v>49</v>
      </c>
      <c r="B12" t="s">
        <v>50</v>
      </c>
      <c r="C12" t="s">
        <v>51</v>
      </c>
      <c r="D12" t="s">
        <v>47</v>
      </c>
      <c r="E12" t="s">
        <v>48</v>
      </c>
      <c r="F12" s="6" t="s">
        <v>17</v>
      </c>
      <c r="G12" t="str">
        <f t="shared" si="0"/>
        <v>通过</v>
      </c>
      <c r="H12" s="8" t="s">
        <v>194</v>
      </c>
    </row>
    <row r="13" spans="1:8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s="6" t="s">
        <v>55</v>
      </c>
      <c r="G13" t="str">
        <f t="shared" si="0"/>
        <v>通过</v>
      </c>
      <c r="H13" s="8" t="s">
        <v>194</v>
      </c>
    </row>
    <row r="14" spans="1:8">
      <c r="A14" t="s">
        <v>57</v>
      </c>
      <c r="B14" t="s">
        <v>58</v>
      </c>
      <c r="C14" t="s">
        <v>59</v>
      </c>
      <c r="D14" t="s">
        <v>55</v>
      </c>
      <c r="E14" t="s">
        <v>56</v>
      </c>
      <c r="F14" s="6" t="s">
        <v>55</v>
      </c>
      <c r="G14" t="str">
        <f t="shared" si="0"/>
        <v>通过</v>
      </c>
      <c r="H14" s="8" t="s">
        <v>194</v>
      </c>
    </row>
    <row r="15" spans="1:8">
      <c r="A15" t="s">
        <v>60</v>
      </c>
      <c r="B15" t="s">
        <v>61</v>
      </c>
      <c r="C15" t="s">
        <v>62</v>
      </c>
      <c r="D15" t="s">
        <v>55</v>
      </c>
      <c r="E15" t="s">
        <v>56</v>
      </c>
      <c r="F15" s="6" t="s">
        <v>55</v>
      </c>
      <c r="G15" t="str">
        <f t="shared" si="0"/>
        <v>通过</v>
      </c>
      <c r="H15" s="8" t="s">
        <v>194</v>
      </c>
    </row>
    <row r="16" spans="1:8">
      <c r="A16" t="s">
        <v>63</v>
      </c>
      <c r="B16" t="s">
        <v>64</v>
      </c>
      <c r="C16" t="s">
        <v>65</v>
      </c>
      <c r="D16" t="s">
        <v>55</v>
      </c>
      <c r="E16" t="s">
        <v>56</v>
      </c>
      <c r="F16" s="6" t="s">
        <v>55</v>
      </c>
      <c r="G16" t="str">
        <f t="shared" si="0"/>
        <v>通过</v>
      </c>
      <c r="H16" s="8" t="s">
        <v>194</v>
      </c>
    </row>
  </sheetData>
  <dataConsolidate/>
  <phoneticPr fontId="2" type="noConversion"/>
  <conditionalFormatting sqref="F1:F1048576 H2:H16 G17:G30">
    <cfRule type="cellIs" dxfId="0" priority="1" operator="equal">
      <formula>"不通过"</formula>
    </cfRule>
  </conditionalFormatting>
  <dataValidations count="2">
    <dataValidation type="custom" allowBlank="1" showInputMessage="1" showErrorMessage="1" sqref="G1 G31:G1048576" xr:uid="{307DB948-2393-455F-A968-F8DDF07B9922}">
      <formula1>"通过,不通过"</formula1>
    </dataValidation>
    <dataValidation type="list" sqref="G17:G30 H2:H16" xr:uid="{00000000-0002-0000-0000-000001000000}">
      <formula1>"通过,不通过"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548E-BC5E-4DC2-A20C-453CA2C9349C}">
  <dimension ref="A1:F9"/>
  <sheetViews>
    <sheetView topLeftCell="E1" workbookViewId="0">
      <selection activeCell="F23" sqref="F23"/>
    </sheetView>
  </sheetViews>
  <sheetFormatPr defaultRowHeight="14"/>
  <cols>
    <col min="1" max="1" width="6.25" bestFit="1" customWidth="1"/>
    <col min="2" max="2" width="16.25" bestFit="1" customWidth="1"/>
    <col min="3" max="3" width="47.25" bestFit="1" customWidth="1"/>
    <col min="4" max="4" width="66.6640625" bestFit="1" customWidth="1"/>
    <col min="5" max="5" width="48.5" bestFit="1" customWidth="1"/>
    <col min="6" max="6" width="6.6640625" bestFit="1" customWidth="1"/>
    <col min="7" max="7" width="25.6640625" bestFit="1" customWidth="1"/>
  </cols>
  <sheetData>
    <row r="1" spans="1:6">
      <c r="A1" t="s">
        <v>9</v>
      </c>
      <c r="B1" t="s">
        <v>10</v>
      </c>
      <c r="C1" t="s">
        <v>208</v>
      </c>
      <c r="D1" t="s">
        <v>191</v>
      </c>
      <c r="E1" t="s">
        <v>209</v>
      </c>
      <c r="F1" t="s">
        <v>210</v>
      </c>
    </row>
    <row r="2" spans="1:6">
      <c r="A2" t="s">
        <v>66</v>
      </c>
      <c r="B2" t="s">
        <v>67</v>
      </c>
      <c r="C2" t="s">
        <v>68</v>
      </c>
      <c r="D2" t="s">
        <v>211</v>
      </c>
      <c r="E2" t="s">
        <v>69</v>
      </c>
      <c r="F2" t="s">
        <v>212</v>
      </c>
    </row>
    <row r="3" spans="1:6">
      <c r="A3" t="s">
        <v>70</v>
      </c>
      <c r="B3" t="s">
        <v>71</v>
      </c>
      <c r="C3" t="s">
        <v>72</v>
      </c>
      <c r="D3" t="s">
        <v>213</v>
      </c>
      <c r="E3" t="s">
        <v>73</v>
      </c>
      <c r="F3" t="s">
        <v>212</v>
      </c>
    </row>
    <row r="4" spans="1:6">
      <c r="A4" t="s">
        <v>74</v>
      </c>
      <c r="B4" t="s">
        <v>75</v>
      </c>
      <c r="C4" t="s">
        <v>44</v>
      </c>
      <c r="D4" t="s">
        <v>214</v>
      </c>
      <c r="E4" t="s">
        <v>76</v>
      </c>
      <c r="F4" t="s">
        <v>193</v>
      </c>
    </row>
    <row r="5" spans="1:6">
      <c r="A5" t="s">
        <v>77</v>
      </c>
      <c r="B5" t="s">
        <v>78</v>
      </c>
      <c r="C5" t="s">
        <v>79</v>
      </c>
      <c r="D5" t="s">
        <v>215</v>
      </c>
      <c r="E5" t="s">
        <v>80</v>
      </c>
      <c r="F5" t="s">
        <v>212</v>
      </c>
    </row>
    <row r="6" spans="1:6">
      <c r="A6" t="s">
        <v>81</v>
      </c>
      <c r="B6" t="s">
        <v>82</v>
      </c>
      <c r="C6" t="s">
        <v>29</v>
      </c>
      <c r="D6" t="s">
        <v>216</v>
      </c>
      <c r="E6" t="s">
        <v>83</v>
      </c>
      <c r="F6" t="s">
        <v>212</v>
      </c>
    </row>
    <row r="7" spans="1:6">
      <c r="A7" t="s">
        <v>84</v>
      </c>
      <c r="B7" t="s">
        <v>85</v>
      </c>
      <c r="C7" t="s">
        <v>86</v>
      </c>
      <c r="D7" t="s">
        <v>217</v>
      </c>
      <c r="E7" t="s">
        <v>87</v>
      </c>
      <c r="F7" t="s">
        <v>193</v>
      </c>
    </row>
    <row r="8" spans="1:6">
      <c r="A8" t="s">
        <v>88</v>
      </c>
      <c r="B8" t="s">
        <v>46</v>
      </c>
      <c r="C8" t="s">
        <v>89</v>
      </c>
      <c r="D8" t="s">
        <v>218</v>
      </c>
      <c r="E8" t="s">
        <v>90</v>
      </c>
      <c r="F8" t="s">
        <v>193</v>
      </c>
    </row>
    <row r="9" spans="1:6">
      <c r="A9" t="s">
        <v>91</v>
      </c>
      <c r="B9" t="s">
        <v>50</v>
      </c>
      <c r="C9" t="s">
        <v>92</v>
      </c>
      <c r="D9" t="s">
        <v>219</v>
      </c>
      <c r="E9" t="s">
        <v>93</v>
      </c>
      <c r="F9" t="s">
        <v>193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0540-A775-4C32-B75A-196DCA7AA1A6}">
  <dimension ref="A1:G12"/>
  <sheetViews>
    <sheetView topLeftCell="E1" workbookViewId="0">
      <selection activeCell="E28" sqref="E28"/>
    </sheetView>
  </sheetViews>
  <sheetFormatPr defaultRowHeight="14"/>
  <cols>
    <col min="1" max="1" width="6.08203125" bestFit="1" customWidth="1"/>
    <col min="2" max="2" width="16.25" bestFit="1" customWidth="1"/>
    <col min="3" max="3" width="49.1640625" bestFit="1" customWidth="1"/>
    <col min="4" max="4" width="65.4140625" bestFit="1" customWidth="1"/>
    <col min="5" max="5" width="50.4140625" bestFit="1" customWidth="1"/>
    <col min="6" max="6" width="31.5" bestFit="1" customWidth="1"/>
    <col min="7" max="7" width="4.83203125" bestFit="1" customWidth="1"/>
  </cols>
  <sheetData>
    <row r="1" spans="1:7">
      <c r="A1" t="s">
        <v>94</v>
      </c>
      <c r="B1" t="s">
        <v>220</v>
      </c>
      <c r="C1" t="s">
        <v>208</v>
      </c>
      <c r="D1" t="s">
        <v>221</v>
      </c>
      <c r="E1" t="s">
        <v>191</v>
      </c>
      <c r="F1" t="s">
        <v>209</v>
      </c>
      <c r="G1" t="s">
        <v>210</v>
      </c>
    </row>
    <row r="2" spans="1:7">
      <c r="A2" t="s">
        <v>95</v>
      </c>
      <c r="B2" t="s">
        <v>96</v>
      </c>
      <c r="C2" t="s">
        <v>97</v>
      </c>
      <c r="D2" t="s">
        <v>222</v>
      </c>
      <c r="E2" t="s">
        <v>98</v>
      </c>
      <c r="F2" t="s">
        <v>240</v>
      </c>
      <c r="G2" t="s">
        <v>193</v>
      </c>
    </row>
    <row r="3" spans="1:7">
      <c r="A3" t="s">
        <v>99</v>
      </c>
      <c r="B3" t="s">
        <v>100</v>
      </c>
      <c r="C3" t="s">
        <v>54</v>
      </c>
      <c r="D3" t="s">
        <v>223</v>
      </c>
      <c r="E3" t="s">
        <v>101</v>
      </c>
      <c r="F3" t="s">
        <v>241</v>
      </c>
      <c r="G3" t="s">
        <v>212</v>
      </c>
    </row>
    <row r="4" spans="1:7">
      <c r="A4" t="s">
        <v>102</v>
      </c>
      <c r="B4" t="s">
        <v>103</v>
      </c>
      <c r="C4" t="s">
        <v>104</v>
      </c>
      <c r="D4" t="s">
        <v>224</v>
      </c>
      <c r="E4" t="s">
        <v>105</v>
      </c>
      <c r="F4" t="s">
        <v>105</v>
      </c>
      <c r="G4" t="s">
        <v>212</v>
      </c>
    </row>
    <row r="5" spans="1:7">
      <c r="A5" t="s">
        <v>106</v>
      </c>
      <c r="B5" t="s">
        <v>107</v>
      </c>
      <c r="C5" t="s">
        <v>108</v>
      </c>
      <c r="D5" t="s">
        <v>225</v>
      </c>
      <c r="E5" t="s">
        <v>109</v>
      </c>
      <c r="F5" t="s">
        <v>109</v>
      </c>
      <c r="G5" t="s">
        <v>212</v>
      </c>
    </row>
    <row r="6" spans="1:7">
      <c r="A6" t="s">
        <v>110</v>
      </c>
      <c r="B6" t="s">
        <v>111</v>
      </c>
      <c r="C6" t="s">
        <v>112</v>
      </c>
      <c r="D6" t="s">
        <v>226</v>
      </c>
      <c r="E6" t="s">
        <v>196</v>
      </c>
      <c r="F6" t="s">
        <v>242</v>
      </c>
      <c r="G6" t="s">
        <v>212</v>
      </c>
    </row>
    <row r="7" spans="1:7">
      <c r="A7" t="s">
        <v>113</v>
      </c>
      <c r="B7" t="s">
        <v>114</v>
      </c>
      <c r="C7" t="s">
        <v>115</v>
      </c>
      <c r="D7" t="s">
        <v>227</v>
      </c>
      <c r="E7" t="s">
        <v>116</v>
      </c>
      <c r="F7" t="s">
        <v>117</v>
      </c>
      <c r="G7" t="s">
        <v>212</v>
      </c>
    </row>
    <row r="8" spans="1:7">
      <c r="A8" t="s">
        <v>118</v>
      </c>
      <c r="B8" t="s">
        <v>119</v>
      </c>
      <c r="C8" t="s">
        <v>120</v>
      </c>
      <c r="D8" t="s">
        <v>47</v>
      </c>
      <c r="E8" t="s">
        <v>121</v>
      </c>
      <c r="F8" t="s">
        <v>243</v>
      </c>
      <c r="G8" t="s">
        <v>212</v>
      </c>
    </row>
    <row r="9" spans="1:7">
      <c r="A9" t="s">
        <v>122</v>
      </c>
      <c r="B9" t="s">
        <v>123</v>
      </c>
      <c r="C9" t="s">
        <v>124</v>
      </c>
      <c r="D9" t="s">
        <v>228</v>
      </c>
      <c r="E9" t="s">
        <v>125</v>
      </c>
      <c r="F9" t="s">
        <v>125</v>
      </c>
      <c r="G9" t="s">
        <v>212</v>
      </c>
    </row>
    <row r="10" spans="1:7">
      <c r="A10" t="s">
        <v>126</v>
      </c>
      <c r="B10" t="s">
        <v>127</v>
      </c>
      <c r="C10" t="s">
        <v>128</v>
      </c>
      <c r="D10" t="s">
        <v>229</v>
      </c>
      <c r="E10" t="s">
        <v>129</v>
      </c>
      <c r="F10" t="s">
        <v>244</v>
      </c>
      <c r="G10" t="s">
        <v>212</v>
      </c>
    </row>
    <row r="11" spans="1:7">
      <c r="A11" t="s">
        <v>130</v>
      </c>
      <c r="B11" t="s">
        <v>131</v>
      </c>
      <c r="C11" t="s">
        <v>132</v>
      </c>
      <c r="D11" t="s">
        <v>230</v>
      </c>
      <c r="E11" t="s">
        <v>133</v>
      </c>
      <c r="F11" t="s">
        <v>133</v>
      </c>
      <c r="G11" t="s">
        <v>212</v>
      </c>
    </row>
    <row r="12" spans="1:7">
      <c r="A12" s="9"/>
      <c r="B12" s="9"/>
      <c r="C12" s="9"/>
      <c r="D12" s="9"/>
      <c r="E12" s="9"/>
      <c r="F12" s="9"/>
      <c r="G12" s="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3F8A-9B70-441E-B1DF-35F62BF2506E}">
  <dimension ref="A1:H7"/>
  <sheetViews>
    <sheetView topLeftCell="E1" workbookViewId="0">
      <selection activeCell="G5" sqref="G5"/>
    </sheetView>
  </sheetViews>
  <sheetFormatPr defaultRowHeight="14"/>
  <cols>
    <col min="1" max="1" width="6.6640625" bestFit="1" customWidth="1"/>
    <col min="2" max="2" width="28.08203125" bestFit="1" customWidth="1"/>
    <col min="3" max="3" width="36.25" bestFit="1" customWidth="1"/>
    <col min="4" max="4" width="47.9140625" bestFit="1" customWidth="1"/>
    <col min="5" max="5" width="41.83203125" bestFit="1" customWidth="1"/>
    <col min="6" max="6" width="6.6640625" bestFit="1" customWidth="1"/>
    <col min="7" max="7" width="24.1640625" bestFit="1" customWidth="1"/>
    <col min="8" max="8" width="16.25" bestFit="1" customWidth="1"/>
  </cols>
  <sheetData>
    <row r="1" spans="1:8">
      <c r="A1" t="s">
        <v>9</v>
      </c>
      <c r="B1" t="s">
        <v>10</v>
      </c>
      <c r="C1" t="s">
        <v>134</v>
      </c>
      <c r="D1" t="s">
        <v>12</v>
      </c>
      <c r="E1" t="s">
        <v>13</v>
      </c>
      <c r="F1" t="s">
        <v>190</v>
      </c>
    </row>
    <row r="2" spans="1:8">
      <c r="A2" t="s">
        <v>135</v>
      </c>
      <c r="B2" t="s">
        <v>136</v>
      </c>
      <c r="C2" t="s">
        <v>232</v>
      </c>
      <c r="D2" t="s">
        <v>239</v>
      </c>
      <c r="E2" t="s">
        <v>137</v>
      </c>
      <c r="F2" t="s">
        <v>193</v>
      </c>
    </row>
    <row r="3" spans="1:8">
      <c r="A3" t="s">
        <v>197</v>
      </c>
      <c r="B3" t="s">
        <v>198</v>
      </c>
      <c r="C3" t="s">
        <v>247</v>
      </c>
      <c r="D3" t="s">
        <v>233</v>
      </c>
      <c r="E3" t="s">
        <v>199</v>
      </c>
      <c r="F3" t="s">
        <v>193</v>
      </c>
      <c r="H3" t="s">
        <v>231</v>
      </c>
    </row>
    <row r="4" spans="1:8">
      <c r="A4" t="s">
        <v>138</v>
      </c>
      <c r="B4" t="s">
        <v>139</v>
      </c>
      <c r="C4" t="s">
        <v>246</v>
      </c>
      <c r="D4" t="s">
        <v>234</v>
      </c>
      <c r="E4" t="s">
        <v>140</v>
      </c>
      <c r="F4" t="s">
        <v>193</v>
      </c>
    </row>
    <row r="5" spans="1:8">
      <c r="A5" t="s">
        <v>141</v>
      </c>
      <c r="B5" t="s">
        <v>142</v>
      </c>
      <c r="C5" t="s">
        <v>248</v>
      </c>
      <c r="D5" t="s">
        <v>235</v>
      </c>
      <c r="E5" t="s">
        <v>143</v>
      </c>
      <c r="F5" t="s">
        <v>193</v>
      </c>
    </row>
    <row r="6" spans="1:8">
      <c r="A6" t="s">
        <v>144</v>
      </c>
      <c r="B6" t="s">
        <v>145</v>
      </c>
      <c r="C6" t="s">
        <v>236</v>
      </c>
      <c r="D6" t="s">
        <v>237</v>
      </c>
      <c r="E6" t="s">
        <v>146</v>
      </c>
      <c r="F6" t="s">
        <v>193</v>
      </c>
      <c r="G6" s="10"/>
    </row>
    <row r="7" spans="1:8">
      <c r="A7" t="s">
        <v>147</v>
      </c>
      <c r="B7" t="s">
        <v>249</v>
      </c>
      <c r="C7" t="s">
        <v>250</v>
      </c>
      <c r="D7" t="s">
        <v>238</v>
      </c>
      <c r="E7" t="s">
        <v>148</v>
      </c>
      <c r="F7" t="s">
        <v>193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C28-FA61-424E-8752-9FA6DF6E9726}">
  <dimension ref="A1:J11"/>
  <sheetViews>
    <sheetView tabSelected="1" topLeftCell="E1" workbookViewId="0">
      <selection activeCell="G6" sqref="G6"/>
    </sheetView>
  </sheetViews>
  <sheetFormatPr defaultRowHeight="14"/>
  <cols>
    <col min="1" max="1" width="6.33203125" bestFit="1" customWidth="1"/>
    <col min="2" max="2" width="12.33203125" bestFit="1" customWidth="1"/>
    <col min="3" max="3" width="31.5" bestFit="1" customWidth="1"/>
    <col min="4" max="4" width="41.6640625" bestFit="1" customWidth="1"/>
    <col min="5" max="5" width="36.58203125" bestFit="1" customWidth="1"/>
    <col min="6" max="6" width="37.4140625" bestFit="1" customWidth="1"/>
    <col min="7" max="7" width="6.6640625" bestFit="1" customWidth="1"/>
    <col min="8" max="8" width="12.33203125" bestFit="1" customWidth="1"/>
  </cols>
  <sheetData>
    <row r="1" spans="1:10">
      <c r="A1" s="9" t="s">
        <v>9</v>
      </c>
      <c r="B1" s="9" t="s">
        <v>200</v>
      </c>
      <c r="C1" s="9" t="s">
        <v>201</v>
      </c>
      <c r="D1" s="9" t="s">
        <v>202</v>
      </c>
      <c r="E1" s="9" t="s">
        <v>12</v>
      </c>
      <c r="F1" s="9" t="s">
        <v>203</v>
      </c>
      <c r="G1" s="9" t="s">
        <v>204</v>
      </c>
      <c r="H1" s="9"/>
      <c r="I1" s="9"/>
      <c r="J1" s="9"/>
    </row>
    <row r="2" spans="1:10" ht="29" customHeight="1">
      <c r="A2" s="9" t="s">
        <v>149</v>
      </c>
      <c r="B2" s="9" t="s">
        <v>150</v>
      </c>
      <c r="C2" s="9" t="s">
        <v>207</v>
      </c>
      <c r="D2" s="9" t="s">
        <v>151</v>
      </c>
      <c r="E2" s="9" t="s">
        <v>152</v>
      </c>
      <c r="F2" s="9" t="s">
        <v>205</v>
      </c>
      <c r="G2" s="9" t="s">
        <v>206</v>
      </c>
      <c r="H2" s="9"/>
      <c r="I2" s="9"/>
      <c r="J2" s="9"/>
    </row>
    <row r="3" spans="1:10" ht="25.5" customHeight="1">
      <c r="A3" s="9" t="s">
        <v>153</v>
      </c>
      <c r="B3" s="9" t="s">
        <v>154</v>
      </c>
      <c r="C3" s="9" t="s">
        <v>251</v>
      </c>
      <c r="D3" s="9" t="s">
        <v>155</v>
      </c>
      <c r="E3" s="9" t="s">
        <v>156</v>
      </c>
      <c r="F3" s="9" t="s">
        <v>157</v>
      </c>
      <c r="G3" s="9" t="s">
        <v>206</v>
      </c>
      <c r="H3" s="9">
        <v>0.66666666666666663</v>
      </c>
      <c r="I3" s="9"/>
      <c r="J3" s="9"/>
    </row>
    <row r="4" spans="1:10">
      <c r="A4" s="9" t="s">
        <v>158</v>
      </c>
      <c r="B4" s="9" t="s">
        <v>159</v>
      </c>
      <c r="C4" s="9" t="s">
        <v>252</v>
      </c>
      <c r="D4" s="9" t="s">
        <v>160</v>
      </c>
      <c r="E4" s="9" t="s">
        <v>161</v>
      </c>
      <c r="F4" s="9" t="s">
        <v>162</v>
      </c>
      <c r="G4" s="9" t="s">
        <v>193</v>
      </c>
      <c r="H4" s="9"/>
      <c r="I4" s="9"/>
      <c r="J4" s="9"/>
    </row>
    <row r="5" spans="1:10">
      <c r="A5" s="9" t="s">
        <v>163</v>
      </c>
      <c r="B5" s="9" t="s">
        <v>164</v>
      </c>
      <c r="C5" s="9" t="s">
        <v>253</v>
      </c>
      <c r="D5" s="9" t="s">
        <v>165</v>
      </c>
      <c r="E5" s="9" t="s">
        <v>166</v>
      </c>
      <c r="F5" s="9" t="s">
        <v>167</v>
      </c>
      <c r="G5" s="9" t="s">
        <v>206</v>
      </c>
      <c r="H5" s="9"/>
      <c r="I5" s="9"/>
      <c r="J5" s="9"/>
    </row>
    <row r="6" spans="1:10">
      <c r="A6" s="9" t="s">
        <v>168</v>
      </c>
      <c r="B6" s="9" t="s">
        <v>169</v>
      </c>
      <c r="C6" s="9" t="s">
        <v>254</v>
      </c>
      <c r="D6" s="9" t="s">
        <v>170</v>
      </c>
      <c r="E6" s="9" t="s">
        <v>171</v>
      </c>
      <c r="F6" s="9" t="s">
        <v>172</v>
      </c>
      <c r="G6" s="9" t="s">
        <v>193</v>
      </c>
      <c r="H6" s="9"/>
      <c r="I6" s="9"/>
      <c r="J6" s="9"/>
    </row>
    <row r="7" spans="1:10">
      <c r="A7" s="9" t="s">
        <v>173</v>
      </c>
      <c r="B7" s="9" t="s">
        <v>174</v>
      </c>
      <c r="C7" s="9" t="s">
        <v>255</v>
      </c>
      <c r="D7" s="9" t="s">
        <v>175</v>
      </c>
      <c r="E7" s="9" t="s">
        <v>176</v>
      </c>
      <c r="F7" s="9" t="s">
        <v>177</v>
      </c>
      <c r="G7" s="9" t="s">
        <v>193</v>
      </c>
      <c r="H7" s="9"/>
      <c r="I7" s="9"/>
      <c r="J7" s="9"/>
    </row>
    <row r="8" spans="1:10">
      <c r="A8" s="9" t="s">
        <v>178</v>
      </c>
      <c r="B8" s="9" t="s">
        <v>179</v>
      </c>
      <c r="C8" s="9" t="s">
        <v>180</v>
      </c>
      <c r="D8" s="9" t="s">
        <v>181</v>
      </c>
      <c r="E8" s="9" t="s">
        <v>182</v>
      </c>
      <c r="F8" s="9" t="s">
        <v>183</v>
      </c>
      <c r="G8" s="9" t="s">
        <v>206</v>
      </c>
      <c r="H8" s="9"/>
      <c r="I8" s="9"/>
      <c r="J8" s="9"/>
    </row>
    <row r="9" spans="1:10">
      <c r="A9" s="9" t="s">
        <v>184</v>
      </c>
      <c r="B9" s="9" t="s">
        <v>185</v>
      </c>
      <c r="C9" s="9" t="s">
        <v>256</v>
      </c>
      <c r="D9" s="9" t="s">
        <v>186</v>
      </c>
      <c r="E9" s="9" t="s">
        <v>187</v>
      </c>
      <c r="F9" s="9" t="s">
        <v>188</v>
      </c>
      <c r="G9" s="9" t="s">
        <v>206</v>
      </c>
      <c r="H9" s="9"/>
      <c r="I9" s="9"/>
      <c r="J9" s="9"/>
    </row>
    <row r="11" spans="1:10">
      <c r="F11" s="5" t="s">
        <v>192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A9D5-C824-4148-B006-20B116A743E2}">
  <dimension ref="A1:G9"/>
  <sheetViews>
    <sheetView topLeftCell="C1" workbookViewId="0">
      <selection activeCell="I3" sqref="I3"/>
    </sheetView>
  </sheetViews>
  <sheetFormatPr defaultRowHeight="14"/>
  <cols>
    <col min="1" max="6" width="19" customWidth="1"/>
  </cols>
  <sheetData>
    <row r="1" spans="1:7" ht="13" customHeight="1">
      <c r="A1" s="3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</row>
    <row r="2" spans="1:7" ht="25.5" customHeight="1">
      <c r="A2" t="s">
        <v>5</v>
      </c>
      <c r="B2" t="s">
        <v>6</v>
      </c>
    </row>
    <row r="3" spans="1:7" ht="25.5" customHeight="1">
      <c r="D3" s="2"/>
    </row>
    <row r="4" spans="1:7" ht="25.5" customHeight="1">
      <c r="D4" s="2"/>
    </row>
    <row r="5" spans="1:7" ht="25.5" customHeight="1">
      <c r="D5" s="2"/>
    </row>
    <row r="6" spans="1:7" ht="25.5" customHeight="1"/>
    <row r="7" spans="1:7" ht="25.5" customHeight="1"/>
    <row r="8" spans="1:7" ht="25.5" customHeight="1"/>
    <row r="9" spans="1:7" ht="25.5" customHeight="1"/>
  </sheetData>
  <phoneticPr fontId="2" type="noConversion"/>
  <dataValidations count="1">
    <dataValidation type="list" sqref="E2:E7" xr:uid="{00000000-0002-0000-0100-000000000000}">
      <formula1>"检索失效,指令违背,幻觉,事实错误,幻觉/事实错误"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前置路由准确性测试</vt:lpstr>
      <vt:lpstr>AI 核心逻辑测试</vt:lpstr>
      <vt:lpstr>边界值与鲁棒性测试</vt:lpstr>
      <vt:lpstr>记忆与多轮对话测试</vt:lpstr>
      <vt:lpstr>检索质量测试</vt:lpstr>
      <vt:lpstr>Badcase修复日志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2026-08-02T15:33:54Z</dcterms:modified>
</cp:coreProperties>
</file>